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7bcfda0eb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overview" sheetId="1" r:id="Raa3bfa324ed543f7"/>
    <x:sheet xmlns:r="http://schemas.openxmlformats.org/officeDocument/2006/relationships" name="Sprint tasks" sheetId="2" r:id="Rcd42c9d11b824ea7"/>
    <x:sheet xmlns:r="http://schemas.openxmlformats.org/officeDocument/2006/relationships" name="Product backlog" sheetId="3" r:id="R4eddc9165e6c4ff3"/>
    <x:sheet xmlns:r="http://schemas.openxmlformats.org/officeDocument/2006/relationships" name="Burndown plan" sheetId="4" r:id="Rab14298d48b3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.mm.yyyy"/>
    <x:numFmt numFmtId="202" formatCode="0.0"/>
  </x:numFmts>
  <x:fonts count="5">
    <x:font>
      <x:sz val="11"/>
      <x:name val="Carlito"/>
    </x:font>
    <x:font>
      <x:sz val="10"/>
      <x:color rgb="FF223A32"/>
      <x:name val="Arial"/>
    </x:font>
    <x:font>
      <x:b/>
      <x:sz val="16"/>
      <x:color rgb="FF173C35"/>
      <x:name val="Arial"/>
    </x:font>
    <x:font>
      <x:b/>
      <x:sz val="10"/>
      <x:color rgb="FFFFFFFF"/>
      <x:name val="Arial"/>
    </x:font>
    <x:font>
      <x:sz val="10"/>
      <x:color rgb="FF677C6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E51"/>
      </x:patternFill>
    </x:fill>
    <x:fill>
      <x:patternFill patternType="solid">
        <x:fgColor rgb="FFFFF6DB"/>
      </x:patternFill>
    </x:fill>
  </x:fills>
  <x:borders count="2">
    <x:border/>
    <x:border>
      <x:bottom style="thin">
        <x:color rgb="FFCFDCD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fb6c954364311" /><Relationship Type="http://schemas.openxmlformats.org/officeDocument/2006/relationships/theme" Target="/xl/theme/theme1.xml" Id="R25b7e89ee66c4b7e" /><Relationship Type="http://schemas.openxmlformats.org/officeDocument/2006/relationships/sharedStrings" Target="/xl/sharedStrings.xml" Id="Rabd43e4862ab4e75" /><Relationship Type="http://schemas.openxmlformats.org/officeDocument/2006/relationships/worksheet" Target="/xl/worksheets/sheet1.xml" Id="Raa3bfa324ed543f7" /><Relationship Type="http://schemas.openxmlformats.org/officeDocument/2006/relationships/worksheet" Target="/xl/worksheets/sheet2.xml" Id="Rcd42c9d11b824ea7" /><Relationship Type="http://schemas.openxmlformats.org/officeDocument/2006/relationships/worksheet" Target="/xl/worksheets/sheet3.xml" Id="R4eddc9165e6c4ff3" /><Relationship Type="http://schemas.openxmlformats.org/officeDocument/2006/relationships/worksheet" Target="/xl/worksheets/sheet4.xml" Id="Rab14298d48b34894" /></Relationships>
</file>

<file path=xl/tables/table1.xml><?xml version="1.0" encoding="utf-8"?>
<x:table xmlns:x="http://schemas.openxmlformats.org/spreadsheetml/2006/main" id="1" name="SprintSummary" displayName="SprintSummary" ref="A5:F7" headerRowCount="1" totalsRowCount="0" totalsRowShown="0">
  <x:autoFilter ref="A5:F7"/>
  <x:tableColumns count="6">
    <x:tableColumn id="1" name="Sprint"/>
    <x:tableColumn id="2" name="Selected stories"/>
    <x:tableColumn id="3" name="Source effort points"/>
    <x:tableColumn id="4" name="Technical tasks done"/>
    <x:tableColumn id="5" name="Total tasks"/>
    <x:tableColumn id="6" name="Human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Tasks" displayName="SprintTasks" ref="A5:H23" headerRowCount="1" totalsRowCount="0" totalsRowShown="0">
  <x:autoFilter ref="A5:H23"/>
  <x:tableColumns count="8">
    <x:tableColumn id="1" name="Task ID"/>
    <x:tableColumn id="2" name="Sprint"/>
    <x:tableColumn id="3" name="Story"/>
    <x:tableColumn id="4" name="Task"/>
    <x:tableColumn id="5" name="Owner role"/>
    <x:tableColumn id="6" name="Estimated hours (planning assumption)"/>
    <x:tableColumn id="7" name="Technical state"/>
    <x:tableColumn id="8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Backlog" displayName="ProductBacklog" ref="A5:P15" headerRowCount="1" totalsRowCount="0" totalsRowShown="0">
  <x:autoFilter ref="A5:P15"/>
  <x:tableColumns count="16">
    <x:tableColumn id="1" name="#story"/>
    <x:tableColumn id="2" name="story_title"/>
    <x:tableColumn id="3" name="story description"/>
    <x:tableColumn id="4" name="story_estimation"/>
    <x:tableColumn id="5" name="HC&amp;HV"/>
    <x:tableColumn id="6" name="LC&amp;HV"/>
    <x:tableColumn id="7" name="HC&amp;LV"/>
    <x:tableColumn id="8" name="LC&amp;LV"/>
    <x:tableColumn id="9" name="User_role"/>
    <x:tableColumn id="10" name="Pre-Requirements"/>
    <x:tableColumn id="11" name="QATest"/>
    <x:tableColumn id="12" name="Responsible person in a team"/>
    <x:tableColumn id="13" name="Source Iteration"/>
    <x:tableColumn id="14" name="Source Deadline"/>
    <x:tableColumn id="15" name="Course Sprint"/>
    <x:tableColumn id="16" name="Delivery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rndownPlan" displayName="BurndownPlan" ref="A5:E16" headerRowCount="1" totalsRowCount="0" totalsRowShown="0">
  <x:autoFilter ref="A5:E16"/>
  <x:tableColumns count="5">
    <x:tableColumn id="1" name="Working day"/>
    <x:tableColumn id="2" name="Sprint 1 ideal points"/>
    <x:tableColumn id="3" name="Sprint 1 observed points"/>
    <x:tableColumn id="4" name="Sprint 2 ideal points"/>
    <x:tableColumn id="5" name="Sprint 2 observed poi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ildSnapshot" displayName="BuildSnapshot" ref="A19:E20" headerRowCount="1" totalsRowCount="0" totalsRowShown="0">
  <x:autoFilter ref="A19:E20"/>
  <x:tableColumns count="5">
    <x:tableColumn id="1" name="Snapshot"/>
    <x:tableColumn id="2" name="Sprint 1 remaining"/>
    <x:tableColumn id="3" name="Record"/>
    <x:tableColumn id="4" name="Sprint 2 remaining"/>
    <x:tableColumn id="5" name="Rec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57967442e349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f7e47f73ed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1be9093ae8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5a9d7c163145c0" /><Relationship Type="http://schemas.openxmlformats.org/officeDocument/2006/relationships/table" Target="/xl/tables/table5.xml" Id="R99ff10ecde6b43f2" /></Relationships>
</file>

<file path=xl/worksheets/sheet1.xml><?xml version="1.0" encoding="utf-8"?>
<x:worksheet xmlns:x="http://schemas.openxmlformats.org/spreadsheetml/2006/main">
  <x:sheetPr>
    <x:tabColor rgb="FF173C35"/>
  </x:sheetPr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9" hidden="0" customWidth="1"/>
    <x:col min="4" max="4" width="21" hidden="0" customWidth="1"/>
    <x:col min="5" max="5" width="15" hidden="0" customWidth="1"/>
    <x:col min="6" max="6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Sprint 1-2 delivery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8" customHeight="1">
      <x:c r="A5" s="8" t="str">
        <x:v>Sprint</x:v>
      </x:c>
      <x:c r="B5" s="8" t="str">
        <x:v>Selected stories</x:v>
      </x:c>
      <x:c r="C5" s="8" t="str">
        <x:v>Source effort points</x:v>
      </x:c>
      <x:c r="D5" s="8" t="str">
        <x:v>Technical tasks done</x:v>
      </x:c>
      <x:c r="E5" s="8" t="str">
        <x:v>Total tasks</x:v>
      </x:c>
      <x:c r="F5" s="8" t="str">
        <x:v>Human acceptance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10" t="n">
        <x:v>1</x:v>
      </x:c>
      <x:c r="B6" s="2" t="str">
        <x:v>US1-US2</x:v>
      </x:c>
      <x:c r="C6" s="10" t="n">
        <x:f>SUMIFS('Product backlog'!$D$6:$D$15,'Product backlog'!$O$6:$O$15,A6)</x:f>
        <x:v>8</x:v>
      </x:c>
      <x:c r="D6" s="10" t="n">
        <x:f>COUNTIFS('Sprint tasks'!$B$6:$B$23,A6,'Sprint tasks'!$G$6:$G$23,"Done")</x:f>
        <x:v>9</x:v>
      </x:c>
      <x:c r="E6" s="10" t="n">
        <x:f>COUNTIFS('Sprint tasks'!$B$6:$B$23,A6)</x:f>
        <x:v>9</x:v>
      </x:c>
      <x:c r="F6" s="2" t="str">
        <x:v>Not recorded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2" customHeight="1">
      <x:c r="A7" s="10" t="n">
        <x:v>2</x:v>
      </x:c>
      <x:c r="B7" s="2" t="str">
        <x:v>US3-US5</x:v>
      </x:c>
      <x:c r="C7" s="10" t="n">
        <x:f>SUMIFS('Product backlog'!$D$6:$D$15,'Product backlog'!$O$6:$O$15,A7)</x:f>
        <x:v>15</x:v>
      </x:c>
      <x:c r="D7" s="10" t="n">
        <x:f>COUNTIFS('Sprint tasks'!$B$6:$B$23,A7,'Sprint tasks'!$G$6:$G$23,"Done")</x:f>
        <x:v>9</x:v>
      </x:c>
      <x:c r="E7" s="10" t="n">
        <x:f>COUNTIFS('Sprint tasks'!$B$6:$B$23,A7)</x:f>
        <x:v>9</x:v>
      </x:c>
      <x:c r="F7" s="2" t="str">
        <x:v>Not recorded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2" customHeight="1">
      <x:c r="A10" s="2" t="str">
        <x:v>Metric</x:v>
      </x:c>
      <x:c r="B10" s="2" t="str">
        <x:v>Value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2" customHeight="1">
      <x:c r="A11" s="2" t="str">
        <x:v>Total source story points</x:v>
      </x:c>
      <x:c r="B11" s="2" t="n">
        <x:f>SUM('Product backlog'!D6:D15)</x:f>
        <x:v>52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2" customHeight="1">
      <x:c r="A12" s="2" t="str">
        <x:v>Later story points</x:v>
      </x:c>
      <x:c r="B12" s="2" t="n">
        <x:f>SUMIFS('Product backlog'!D6:D15,'Product backlog'!O6:O15,"&gt;2")</x:f>
        <x:v>29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2" customHeight="1">
      <x:c r="A13" s="2" t="str">
        <x:v>Selected story points</x:v>
      </x:c>
      <x:c r="B13" s="2" t="n">
        <x:f>SUM(C6:C7)</x:f>
        <x:v>23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2" customHeight="1">
      <x:c r="A14" s="2" t="str">
        <x:v>Delivered technical scope</x:v>
      </x:c>
      <x:c r="B14" s="2" t="str">
        <x:v>US1-US5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9" t="str">
        <x:v>Technical delivery and actual Product Owner acceptance are separate.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2" customHeight="1">
      <x:c r="A19" s="9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2" customHeight="1">
      <x:c r="A20" s="9" t="str">
        <x:v>Source dates are preserved. Course defence dates and real team names were not supplied.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</x:sheetData>
  <x:pageMargins left="0.7" right="0.7" top="0.75" bottom="0.75" header="0.3" footer="0.3"/>
  <x:tableParts count="1">
    <x:tablePart xmlns:r="http://schemas.openxmlformats.org/officeDocument/2006/relationships" r:id="Rbc57967442e34916"/>
  </x:tableParts>
</x:worksheet>
</file>

<file path=xl/worksheets/sheet2.xml><?xml version="1.0" encoding="utf-8"?>
<x:worksheet xmlns:x="http://schemas.openxmlformats.org/spreadsheetml/2006/main">
  <x:sheetPr>
    <x:tabColor rgb="FF70948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8" hidden="0" customWidth="1"/>
    <x:col min="3" max="3" width="16" hidden="0" customWidth="1"/>
    <x:col min="4" max="4" width="56" hidden="0" customWidth="1"/>
    <x:col min="5" max="5" width="31" hidden="0" customWidth="1"/>
    <x:col min="6" max="6" width="17" hidden="0" customWidth="1"/>
    <x:col min="7" max="7" width="18" hidden="0" customWidth="1"/>
    <x:col min="8" max="8" width="5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Sprint task tracker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56" customHeight="1">
      <x:c r="A5" s="8" t="str">
        <x:v>Task ID</x:v>
      </x:c>
      <x:c r="B5" s="8" t="str">
        <x:v>Sprint</x:v>
      </x:c>
      <x:c r="C5" s="8" t="str">
        <x:v>Story</x:v>
      </x:c>
      <x:c r="D5" s="8" t="str">
        <x:v>Task</x:v>
      </x:c>
      <x:c r="E5" s="8" t="str">
        <x:v>Owner role</x:v>
      </x:c>
      <x:c r="F5" s="8" t="str">
        <x:v>Estimated hours (planning assumption)</x:v>
      </x:c>
      <x:c r="G5" s="8" t="str">
        <x:v>Technical state</x:v>
      </x:c>
      <x:c r="H5" s="8" t="str">
        <x:v>Evidence</x:v>
      </x:c>
      <x:c r="I5" s="2"/>
      <x:c r="J5" s="2"/>
      <x:c r="K5" s="2"/>
      <x:c r="L5" s="2"/>
      <x:c r="M5" s="2"/>
      <x:c r="N5" s="2"/>
      <x:c r="O5" s="2"/>
      <x:c r="P5" s="2"/>
    </x:row>
    <x:row r="6" ht="57" customHeight="1">
      <x:c r="A6" s="11" t="str">
        <x:v>S1-T01</x:v>
      </x:c>
      <x:c r="B6" s="11" t="n">
        <x:v>1</x:v>
      </x:c>
      <x:c r="C6" s="11" t="str">
        <x:v>Foundation</x:v>
      </x:c>
      <x:c r="D6" s="11" t="str">
        <x:v>Set up eight-entity SQLite schema and departments</x:v>
      </x:c>
      <x:c r="E6" s="11" t="str">
        <x:v>AI/Backend Developer</x:v>
      </x:c>
      <x:c r="F6" s="11" t="n">
        <x:v>4</x:v>
      </x:c>
      <x:c r="G6" s="12" t="str">
        <x:v>Done</x:v>
      </x:c>
      <x:c r="H6" s="11" t="str">
        <x:v>app/schema.sql</x:v>
      </x:c>
      <x:c r="I6" s="2"/>
      <x:c r="J6" s="2"/>
      <x:c r="K6" s="2"/>
      <x:c r="L6" s="2"/>
      <x:c r="M6" s="2"/>
      <x:c r="N6" s="2"/>
      <x:c r="O6" s="2"/>
      <x:c r="P6" s="2"/>
    </x:row>
    <x:row r="7" ht="57" customHeight="1">
      <x:c r="A7" s="11" t="str">
        <x:v>S1-T02</x:v>
      </x:c>
      <x:c r="B7" s="11" t="n">
        <x:v>1</x:v>
      </x:c>
      <x:c r="C7" s="11" t="str">
        <x:v>Foundation</x:v>
      </x:c>
      <x:c r="D7" s="11" t="str">
        <x:v>Implement registration, hashed passwords, session rotation and CSRF</x:v>
      </x:c>
      <x:c r="E7" s="11" t="str">
        <x:v>AI/Backend Developer</x:v>
      </x:c>
      <x:c r="F7" s="11" t="n">
        <x:v>6</x:v>
      </x:c>
      <x:c r="G7" s="12" t="str">
        <x:v>Done</x:v>
      </x:c>
      <x:c r="H7" s="11" t="str">
        <x:v>app/server.py; app/security.py</x:v>
      </x:c>
      <x:c r="I7" s="2"/>
      <x:c r="J7" s="2"/>
      <x:c r="K7" s="2"/>
      <x:c r="L7" s="2"/>
      <x:c r="M7" s="2"/>
      <x:c r="N7" s="2"/>
      <x:c r="O7" s="2"/>
      <x:c r="P7" s="2"/>
    </x:row>
    <x:row r="8" ht="57" customHeight="1">
      <x:c r="A8" s="11" t="str">
        <x:v>S1-T03</x:v>
      </x:c>
      <x:c r="B8" s="11" t="n">
        <x:v>1</x:v>
      </x:c>
      <x:c r="C8" s="11" t="str">
        <x:v>US1</x:v>
      </x:c>
      <x:c r="D8" s="11" t="str">
        <x:v>Prepare labeled training and separate evaluation data</x:v>
      </x:c>
      <x:c r="E8" s="11" t="str">
        <x:v>AI/Backend Developer</x:v>
      </x:c>
      <x:c r="F8" s="11" t="n">
        <x:v>4</x:v>
      </x:c>
      <x:c r="G8" s="12" t="str">
        <x:v>Done</x:v>
      </x:c>
      <x:c r="H8" s="11" t="str">
        <x:v>data/training.json; data/evaluation.json</x:v>
      </x:c>
      <x:c r="I8" s="2"/>
      <x:c r="J8" s="2"/>
      <x:c r="K8" s="2"/>
      <x:c r="L8" s="2"/>
      <x:c r="M8" s="2"/>
      <x:c r="N8" s="2"/>
      <x:c r="O8" s="2"/>
      <x:c r="P8" s="2"/>
    </x:row>
    <x:row r="9" ht="57" customHeight="1">
      <x:c r="A9" s="11" t="str">
        <x:v>S1-T04</x:v>
      </x:c>
      <x:c r="B9" s="11" t="n">
        <x:v>1</x:v>
      </x:c>
      <x:c r="C9" s="11" t="str">
        <x:v>US1</x:v>
      </x:c>
      <x:c r="D9" s="11" t="str">
        <x:v>Implement supervised classifier, confidence and safety guards</x:v>
      </x:c>
      <x:c r="E9" s="11" t="str">
        <x:v>AI/Backend Developer</x:v>
      </x:c>
      <x:c r="F9" s="11" t="n">
        <x:v>5</x:v>
      </x:c>
      <x:c r="G9" s="12" t="str">
        <x:v>Done</x:v>
      </x:c>
      <x:c r="H9" s="11" t="str">
        <x:v>app/ml.py</x:v>
      </x:c>
      <x:c r="I9" s="2"/>
      <x:c r="J9" s="2"/>
      <x:c r="K9" s="2"/>
      <x:c r="L9" s="2"/>
      <x:c r="M9" s="2"/>
      <x:c r="N9" s="2"/>
      <x:c r="O9" s="2"/>
      <x:c r="P9" s="2"/>
    </x:row>
    <x:row r="10" ht="57" customHeight="1">
      <x:c r="A10" s="11" t="str">
        <x:v>S1-T05</x:v>
      </x:c>
      <x:c r="B10" s="11" t="n">
        <x:v>1</x:v>
      </x:c>
      <x:c r="C10" s="11" t="str">
        <x:v>US1</x:v>
      </x:c>
      <x:c r="D10" s="11" t="str">
        <x:v>Implement request CRUD and automatic department routing</x:v>
      </x:c>
      <x:c r="E10" s="11" t="str">
        <x:v>AI/Backend Developer</x:v>
      </x:c>
      <x:c r="F10" s="11" t="n">
        <x:v>5</x:v>
      </x:c>
      <x:c r="G10" s="12" t="str">
        <x:v>Done</x:v>
      </x:c>
      <x:c r="H10" s="11" t="str">
        <x:v>app/service.py</x:v>
      </x:c>
      <x:c r="I10" s="2"/>
      <x:c r="J10" s="2"/>
      <x:c r="K10" s="2"/>
      <x:c r="L10" s="2"/>
      <x:c r="M10" s="2"/>
      <x:c r="N10" s="2"/>
      <x:c r="O10" s="2"/>
      <x:c r="P10" s="2"/>
    </x:row>
    <x:row r="11" ht="57" customHeight="1">
      <x:c r="A11" s="11" t="str">
        <x:v>S1-T06</x:v>
      </x:c>
      <x:c r="B11" s="11" t="n">
        <x:v>1</x:v>
      </x:c>
      <x:c r="C11" s="11" t="str">
        <x:v>US2</x:v>
      </x:c>
      <x:c r="D11" s="11" t="str">
        <x:v>Persist receipts and notification history with unique event links</x:v>
      </x:c>
      <x:c r="E11" s="11" t="str">
        <x:v>Frontend Developer</x:v>
      </x:c>
      <x:c r="F11" s="11" t="n">
        <x:v>4</x:v>
      </x:c>
      <x:c r="G11" s="12" t="str">
        <x:v>Done</x:v>
      </x:c>
      <x:c r="H11" s="11" t="str">
        <x:v>app/service.py; app/schema.sql</x:v>
      </x:c>
      <x:c r="I11" s="2"/>
      <x:c r="J11" s="2"/>
      <x:c r="K11" s="2"/>
      <x:c r="L11" s="2"/>
      <x:c r="M11" s="2"/>
      <x:c r="N11" s="2"/>
      <x:c r="O11" s="2"/>
      <x:c r="P11" s="2"/>
    </x:row>
    <x:row r="12" ht="57" customHeight="1">
      <x:c r="A12" s="11" t="str">
        <x:v>S1-T07</x:v>
      </x:c>
      <x:c r="B12" s="11" t="n">
        <x:v>1</x:v>
      </x:c>
      <x:c r="C12" s="11" t="str">
        <x:v>US1-US2</x:v>
      </x:c>
      <x:c r="D12" s="11" t="str">
        <x:v>Build student intake and notification interface</x:v>
      </x:c>
      <x:c r="E12" s="11" t="str">
        <x:v>Frontend Developer</x:v>
      </x:c>
      <x:c r="F12" s="11" t="n">
        <x:v>6</x:v>
      </x:c>
      <x:c r="G12" s="12" t="str">
        <x:v>Done</x:v>
      </x:c>
      <x:c r="H12" s="11" t="str">
        <x:v>static/app.js; static/style.css</x:v>
      </x:c>
      <x:c r="I12" s="2"/>
      <x:c r="J12" s="2"/>
      <x:c r="K12" s="2"/>
      <x:c r="L12" s="2"/>
      <x:c r="M12" s="2"/>
      <x:c r="N12" s="2"/>
      <x:c r="O12" s="2"/>
      <x:c r="P12" s="2"/>
    </x:row>
    <x:row r="13" ht="57" customHeight="1">
      <x:c r="A13" s="11" t="str">
        <x:v>S1-T08</x:v>
      </x:c>
      <x:c r="B13" s="11" t="n">
        <x:v>1</x:v>
      </x:c>
      <x:c r="C13" s="11" t="str">
        <x:v>US1-US2</x:v>
      </x:c>
      <x:c r="D13" s="11" t="str">
        <x:v>Verify routing, notices, validation and privacy</x:v>
      </x:c>
      <x:c r="E13" s="11" t="str">
        <x:v>QA Tester</x:v>
      </x:c>
      <x:c r="F13" s="11" t="n">
        <x:v>4</x:v>
      </x:c>
      <x:c r="G13" s="12" t="str">
        <x:v>Done</x:v>
      </x:c>
      <x:c r="H13" s="11" t="str">
        <x:v>tests/test_acceptance.py</x:v>
      </x:c>
      <x:c r="I13" s="2"/>
      <x:c r="J13" s="2"/>
      <x:c r="K13" s="2"/>
      <x:c r="L13" s="2"/>
      <x:c r="M13" s="2"/>
      <x:c r="N13" s="2"/>
      <x:c r="O13" s="2"/>
      <x:c r="P13" s="2"/>
    </x:row>
    <x:row r="14" ht="57" customHeight="1">
      <x:c r="A14" s="11" t="str">
        <x:v>S1-T09</x:v>
      </x:c>
      <x:c r="B14" s="11" t="n">
        <x:v>1</x:v>
      </x:c>
      <x:c r="C14" s="11" t="str">
        <x:v>Management</x:v>
      </x:c>
      <x:c r="D14" s="11" t="str">
        <x:v>Prepare proposal, backlog, architecture and report</x:v>
      </x:c>
      <x:c r="E14" s="11" t="str">
        <x:v>Product Owner / Scrum Master</x:v>
      </x:c>
      <x:c r="F14" s="11" t="n">
        <x:v>3</x:v>
      </x:c>
      <x:c r="G14" s="12" t="str">
        <x:v>Done</x:v>
      </x:c>
      <x:c r="H14" s="11" t="str">
        <x:v>docs/sprint_1/report.md</x:v>
      </x:c>
      <x:c r="I14" s="2"/>
      <x:c r="J14" s="2"/>
      <x:c r="K14" s="2"/>
      <x:c r="L14" s="2"/>
      <x:c r="M14" s="2"/>
      <x:c r="N14" s="2"/>
      <x:c r="O14" s="2"/>
      <x:c r="P14" s="2"/>
    </x:row>
    <x:row r="15" ht="57" customHeight="1">
      <x:c r="A15" s="11" t="str">
        <x:v>S2-T01</x:v>
      </x:c>
      <x:c r="B15" s="11" t="n">
        <x:v>2</x:v>
      </x:c>
      <x:c r="C15" s="11" t="str">
        <x:v>US3</x:v>
      </x:c>
      <x:c r="D15" s="11" t="str">
        <x:v>Persist admin-adjustable threshold</x:v>
      </x:c>
      <x:c r="E15" s="11" t="str">
        <x:v>AI/Backend Developer</x:v>
      </x:c>
      <x:c r="F15" s="11" t="n">
        <x:v>3</x:v>
      </x:c>
      <x:c r="G15" s="12" t="str">
        <x:v>Done</x:v>
      </x:c>
      <x:c r="H15" s="11" t="str">
        <x:v>app/server.py; app/schema.sql</x:v>
      </x:c>
      <x:c r="I15" s="2"/>
      <x:c r="J15" s="2"/>
      <x:c r="K15" s="2"/>
      <x:c r="L15" s="2"/>
      <x:c r="M15" s="2"/>
      <x:c r="N15" s="2"/>
      <x:c r="O15" s="2"/>
      <x:c r="P15" s="2"/>
    </x:row>
    <x:row r="16" ht="57" customHeight="1">
      <x:c r="A16" s="11" t="str">
        <x:v>S2-T02</x:v>
      </x:c>
      <x:c r="B16" s="11" t="n">
        <x:v>2</x:v>
      </x:c>
      <x:c r="C16" s="11" t="str">
        <x:v>US3</x:v>
      </x:c>
      <x:c r="D16" s="11" t="str">
        <x:v>Implement four-business-hour review deadline and overdue flag</x:v>
      </x:c>
      <x:c r="E16" s="11" t="str">
        <x:v>AI/Backend Developer</x:v>
      </x:c>
      <x:c r="F16" s="11" t="n">
        <x:v>3</x:v>
      </x:c>
      <x:c r="G16" s="12" t="str">
        <x:v>Done</x:v>
      </x:c>
      <x:c r="H16" s="11" t="str">
        <x:v>app/database.py; app/service.py</x:v>
      </x:c>
      <x:c r="I16" s="2"/>
      <x:c r="J16" s="2"/>
      <x:c r="K16" s="2"/>
      <x:c r="L16" s="2"/>
      <x:c r="M16" s="2"/>
      <x:c r="N16" s="2"/>
      <x:c r="O16" s="2"/>
      <x:c r="P16" s="2"/>
    </x:row>
    <x:row r="17" ht="57" customHeight="1">
      <x:c r="A17" s="11" t="str">
        <x:v>S2-T03</x:v>
      </x:c>
      <x:c r="B17" s="11" t="n">
        <x:v>2</x:v>
      </x:c>
      <x:c r="C17" s="11" t="str">
        <x:v>US3</x:v>
      </x:c>
      <x:c r="D17" s="11" t="str">
        <x:v>Record staff corrections with original request snapshot</x:v>
      </x:c>
      <x:c r="E17" s="11" t="str">
        <x:v>AI/Backend Developer</x:v>
      </x:c>
      <x:c r="F17" s="11" t="n">
        <x:v>3</x:v>
      </x:c>
      <x:c r="G17" s="12" t="str">
        <x:v>Done</x:v>
      </x:c>
      <x:c r="H17" s="11" t="str">
        <x:v>app/service.py</x:v>
      </x:c>
      <x:c r="I17" s="2"/>
      <x:c r="J17" s="2"/>
      <x:c r="K17" s="2"/>
      <x:c r="L17" s="2"/>
      <x:c r="M17" s="2"/>
      <x:c r="N17" s="2"/>
      <x:c r="O17" s="2"/>
      <x:c r="P17" s="2"/>
    </x:row>
    <x:row r="18" ht="57" customHeight="1">
      <x:c r="A18" s="11" t="str">
        <x:v>S2-T04</x:v>
      </x:c>
      <x:c r="B18" s="11" t="n">
        <x:v>2</x:v>
      </x:c>
      <x:c r="C18" s="11" t="str">
        <x:v>US4</x:v>
      </x:c>
      <x:c r="D18" s="11" t="str">
        <x:v>Implement support authorization, sorting and queue filters</x:v>
      </x:c>
      <x:c r="E18" s="11" t="str">
        <x:v>AI/Backend Developer</x:v>
      </x:c>
      <x:c r="F18" s="11" t="n">
        <x:v>4</x:v>
      </x:c>
      <x:c r="G18" s="12" t="str">
        <x:v>Done</x:v>
      </x:c>
      <x:c r="H18" s="11" t="str">
        <x:v>app/server.py</x:v>
      </x:c>
      <x:c r="I18" s="2"/>
      <x:c r="J18" s="2"/>
      <x:c r="K18" s="2"/>
      <x:c r="L18" s="2"/>
      <x:c r="M18" s="2"/>
      <x:c r="N18" s="2"/>
      <x:c r="O18" s="2"/>
      <x:c r="P18" s="2"/>
    </x:row>
    <x:row r="19" ht="57" customHeight="1">
      <x:c r="A19" s="11" t="str">
        <x:v>S2-T05</x:v>
      </x:c>
      <x:c r="B19" s="11" t="n">
        <x:v>2</x:v>
      </x:c>
      <x:c r="C19" s="11" t="str">
        <x:v>US4</x:v>
      </x:c>
      <x:c r="D19" s="11" t="str">
        <x:v>Build direct routing and reassignment UI</x:v>
      </x:c>
      <x:c r="E19" s="11" t="str">
        <x:v>Frontend Developer / UX Designer</x:v>
      </x:c>
      <x:c r="F19" s="11" t="n">
        <x:v>5</x:v>
      </x:c>
      <x:c r="G19" s="12" t="str">
        <x:v>Done</x:v>
      </x:c>
      <x:c r="H19" s="11" t="str">
        <x:v>static/app.js</x:v>
      </x:c>
      <x:c r="I19" s="2"/>
      <x:c r="J19" s="2"/>
      <x:c r="K19" s="2"/>
      <x:c r="L19" s="2"/>
      <x:c r="M19" s="2"/>
      <x:c r="N19" s="2"/>
      <x:c r="O19" s="2"/>
      <x:c r="P19" s="2"/>
    </x:row>
    <x:row r="20" ht="57" customHeight="1">
      <x:c r="A20" s="11" t="str">
        <x:v>S2-T06</x:v>
      </x:c>
      <x:c r="B20" s="11" t="n">
        <x:v>2</x:v>
      </x:c>
      <x:c r="C20" s="11" t="str">
        <x:v>US5</x:v>
      </x:c>
      <x:c r="D20" s="11" t="str">
        <x:v>Implement state transitions, resolution, history and versions</x:v>
      </x:c>
      <x:c r="E20" s="11" t="str">
        <x:v>Full-stack Developer</x:v>
      </x:c>
      <x:c r="F20" s="11" t="n">
        <x:v>5</x:v>
      </x:c>
      <x:c r="G20" s="12" t="str">
        <x:v>Done</x:v>
      </x:c>
      <x:c r="H20" s="11" t="str">
        <x:v>app/service.py</x:v>
      </x:c>
      <x:c r="I20" s="2"/>
      <x:c r="J20" s="2"/>
      <x:c r="K20" s="2"/>
      <x:c r="L20" s="2"/>
      <x:c r="M20" s="2"/>
      <x:c r="N20" s="2"/>
      <x:c r="O20" s="2"/>
      <x:c r="P20" s="2"/>
    </x:row>
    <x:row r="21" ht="57" customHeight="1">
      <x:c r="A21" s="11" t="str">
        <x:v>S2-T07</x:v>
      </x:c>
      <x:c r="B21" s="11" t="n">
        <x:v>2</x:v>
      </x:c>
      <x:c r="C21" s="11" t="str">
        <x:v>US5</x:v>
      </x:c>
      <x:c r="D21" s="11" t="str">
        <x:v>Implement student list polling while preserving form inputs</x:v>
      </x:c>
      <x:c r="E21" s="11" t="str">
        <x:v>Full-stack Developer</x:v>
      </x:c>
      <x:c r="F21" s="11" t="n">
        <x:v>3</x:v>
      </x:c>
      <x:c r="G21" s="12" t="str">
        <x:v>Done</x:v>
      </x:c>
      <x:c r="H21" s="11" t="str">
        <x:v>static/app.js</x:v>
      </x:c>
      <x:c r="I21" s="2"/>
      <x:c r="J21" s="2"/>
      <x:c r="K21" s="2"/>
      <x:c r="L21" s="2"/>
      <x:c r="M21" s="2"/>
      <x:c r="N21" s="2"/>
      <x:c r="O21" s="2"/>
      <x:c r="P21" s="2"/>
    </x:row>
    <x:row r="22" ht="57" customHeight="1">
      <x:c r="A22" s="11" t="str">
        <x:v>S2-T08</x:v>
      </x:c>
      <x:c r="B22" s="11" t="n">
        <x:v>2</x:v>
      </x:c>
      <x:c r="C22" s="11" t="str">
        <x:v>US3-US5</x:v>
      </x:c>
      <x:c r="D22" s="11" t="str">
        <x:v>Verify 500 requests, ownership, rerouting and concurrency</x:v>
      </x:c>
      <x:c r="E22" s="11" t="str">
        <x:v>QA Tester</x:v>
      </x:c>
      <x:c r="F22" s="11" t="n">
        <x:v>5</x:v>
      </x:c>
      <x:c r="G22" s="12" t="str">
        <x:v>Done</x:v>
      </x:c>
      <x:c r="H22" s="11" t="str">
        <x:v>tests/test_acceptance.py</x:v>
      </x:c>
      <x:c r="I22" s="2"/>
      <x:c r="J22" s="2"/>
      <x:c r="K22" s="2"/>
      <x:c r="L22" s="2"/>
      <x:c r="M22" s="2"/>
      <x:c r="N22" s="2"/>
      <x:c r="O22" s="2"/>
      <x:c r="P22" s="2"/>
    </x:row>
    <x:row r="23" ht="57" customHeight="1">
      <x:c r="A23" s="11" t="str">
        <x:v>S2-T09</x:v>
      </x:c>
      <x:c r="B23" s="11" t="n">
        <x:v>2</x:v>
      </x:c>
      <x:c r="C23" s="11" t="str">
        <x:v>Management</x:v>
      </x:c>
      <x:c r="D23" s="11" t="str">
        <x:v>Prepare criteria audit, sprint report, evidence and delivery ZIP</x:v>
      </x:c>
      <x:c r="E23" s="11" t="str">
        <x:v>Product Owner / Scrum Master</x:v>
      </x:c>
      <x:c r="F23" s="11" t="n">
        <x:v>4</x:v>
      </x:c>
      <x:c r="G23" s="12" t="str">
        <x:v>Done</x:v>
      </x:c>
      <x:c r="H23" s="11" t="str">
        <x:v>docs/criteria_audit.md; docs/sprint_2/report.md</x:v>
      </x:c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 t="str">
        <x:v>Hours are planning assumptions, not measured time. Replace role owners with actual team names.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</x:sheetData>
  <x:dataValidations count="1">
    <x:dataValidation type="list" sqref="G6:G23">
      <x:formula1>"To Do,In Progress,Review,Done"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7e47f73ed4a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7" hidden="0" customWidth="1"/>
    <x:col min="3" max="3" width="68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25" hidden="0" customWidth="1"/>
    <x:col min="10" max="10" width="66" hidden="0" customWidth="1"/>
    <x:col min="11" max="11" width="16" hidden="0" customWidth="1"/>
    <x:col min="12" max="12" width="39" hidden="0" customWidth="1"/>
    <x:col min="13" max="13" width="13" hidden="0" customWidth="1"/>
    <x:col min="14" max="14" width="15" hidden="0" customWidth="1"/>
    <x:col min="15" max="15" width="13" hidden="0" customWidth="1"/>
    <x:col min="16" max="16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Product backlog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2" customHeight="1">
      <x:c r="A5" s="8" t="str">
        <x:v>#story</x:v>
      </x:c>
      <x:c r="B5" s="8" t="str">
        <x:v>story_title</x:v>
      </x:c>
      <x:c r="C5" s="8" t="str">
        <x:v>story description</x:v>
      </x:c>
      <x:c r="D5" s="8" t="str">
        <x:v>story_estimation</x:v>
      </x:c>
      <x:c r="E5" s="8" t="str">
        <x:v>HC&amp;HV</x:v>
      </x:c>
      <x:c r="F5" s="8" t="str">
        <x:v>LC&amp;HV</x:v>
      </x:c>
      <x:c r="G5" s="8" t="str">
        <x:v>HC&amp;LV</x:v>
      </x:c>
      <x:c r="H5" s="8" t="str">
        <x:v>LC&amp;LV</x:v>
      </x:c>
      <x:c r="I5" s="8" t="str">
        <x:v>User_role</x:v>
      </x:c>
      <x:c r="J5" s="8" t="str">
        <x:v>Pre-Requirements</x:v>
      </x:c>
      <x:c r="K5" s="8" t="str">
        <x:v>QATest</x:v>
      </x:c>
      <x:c r="L5" s="8" t="str">
        <x:v>Responsible person in a team</x:v>
      </x:c>
      <x:c r="M5" s="8" t="str">
        <x:v>Source Iteration</x:v>
      </x:c>
      <x:c r="N5" s="8" t="str">
        <x:v>Source Deadline</x:v>
      </x:c>
      <x:c r="O5" s="8" t="str">
        <x:v>Course Sprint</x:v>
      </x:c>
      <x:c r="P5" s="8" t="str">
        <x:v>Delivery state</x:v>
      </x:c>
    </x:row>
    <x:row r="6" ht="70" customHeight="1">
      <x:c r="A6" s="11" t="n">
        <x:v>1</x:v>
      </x:c>
      <x:c r="B6" s="11" t="str">
        <x:v>AI Student Request Classification &amp; Routing</x:v>
      </x:c>
      <x:c r="C6" s="11" t="str">
        <x:v>As a student, I want my questions and requests to be automatically sent to the right school department, so that I get help quickly without having to figure out who to ask.</x:v>
      </x:c>
      <x:c r="D6" s="11" t="n">
        <x:v>5</x:v>
      </x:c>
      <x:c r="E6" s="11" t="str"/>
      <x:c r="F6" s="11" t="str">
        <x:v>yes</x:v>
      </x:c>
      <x:c r="G6" s="11" t="str"/>
      <x:c r="H6" s="11" t="str"/>
      <x:c r="I6" s="11" t="str">
        <x:v>Student</x:v>
      </x:c>
      <x:c r="J6" s="11" t="str">
        <x:v>Student must be logged into the student portal; support departments/categories must be set up in the system</x:v>
      </x:c>
      <x:c r="K6" s="11" t="str">
        <x:v>US1QATest</x:v>
      </x:c>
      <x:c r="L6" s="11" t="str">
        <x:v>AI/Backend Developer &amp; QA Tester</x:v>
      </x:c>
      <x:c r="M6" s="11" t="n">
        <x:v>1</x:v>
      </x:c>
      <x:c r="N6" s="13" t="n">
        <x:v>46341</x:v>
      </x:c>
      <x:c r="O6" s="11" t="n">
        <x:v>1</x:v>
      </x:c>
      <x:c r="P6" s="11" t="str">
        <x:v>Implemented</x:v>
      </x:c>
    </x:row>
    <x:row r="7" ht="70" customHeight="1">
      <x:c r="A7" s="11" t="n">
        <x:v>2</x:v>
      </x:c>
      <x:c r="B7" s="11" t="str">
        <x:v>Routing Confirmation &amp; Student Notification</x:v>
      </x:c>
      <x:c r="C7" s="11" t="str">
        <x:v>As a student, I want to receive a notification confirming which department received my request, so that I know my request is being handled and who to expect a response from.</x:v>
      </x:c>
      <x:c r="D7" s="11" t="n">
        <x:v>3</x:v>
      </x:c>
      <x:c r="E7" s="11" t="str"/>
      <x:c r="F7" s="11" t="str">
        <x:v>yes</x:v>
      </x:c>
      <x:c r="G7" s="11" t="str"/>
      <x:c r="H7" s="11" t="str"/>
      <x:c r="I7" s="11" t="str">
        <x:v>Student</x:v>
      </x:c>
      <x:c r="J7" s="11" t="str">
        <x:v>AI routing engine (Story 1) is implemented; notification service (email/in-app) is configured</x:v>
      </x:c>
      <x:c r="K7" s="11" t="str">
        <x:v>US2QATest</x:v>
      </x:c>
      <x:c r="L7" s="11" t="str">
        <x:v>Frontend Developer</x:v>
      </x:c>
      <x:c r="M7" s="11" t="n">
        <x:v>1</x:v>
      </x:c>
      <x:c r="N7" s="13" t="n">
        <x:v>46356</x:v>
      </x:c>
      <x:c r="O7" s="11" t="n">
        <x:v>1</x:v>
      </x:c>
      <x:c r="P7" s="11" t="str">
        <x:v>Implemented</x:v>
      </x:c>
    </x:row>
    <x:row r="8" ht="70" customHeight="1">
      <x:c r="A8" s="11" t="n">
        <x:v>3</x:v>
      </x:c>
      <x:c r="B8" s="11" t="str">
        <x:v>Low-Confidence Escalation to Staff</x:v>
      </x:c>
      <x:c r="C8" s="11" t="str">
        <x:v>As a student, I want my request to be reviewed by a staff member when the AI is unsure how to classify it, so that my request still gets routed correctly instead of being lost or mishandled.</x:v>
      </x:c>
      <x:c r="D8" s="11" t="n">
        <x:v>5</x:v>
      </x:c>
      <x:c r="E8" s="11" t="str">
        <x:v>yes</x:v>
      </x:c>
      <x:c r="F8" s="11" t="str"/>
      <x:c r="G8" s="11" t="str"/>
      <x:c r="H8" s="11" t="str"/>
      <x:c r="I8" s="11" t="str">
        <x:v>Student / Support Staff</x:v>
      </x:c>
      <x:c r="J8" s="11" t="str">
        <x:v>AI routing engine (Story 1) is implemented; confidence threshold is configured; staff review queue exists</x:v>
      </x:c>
      <x:c r="K8" s="11" t="str">
        <x:v>US3QATest</x:v>
      </x:c>
      <x:c r="L8" s="11" t="str">
        <x:v>AI/Backend Developer</x:v>
      </x:c>
      <x:c r="M8" s="11" t="n">
        <x:v>2</x:v>
      </x:c>
      <x:c r="N8" s="13" t="n">
        <x:v>46371</x:v>
      </x:c>
      <x:c r="O8" s="11" t="n">
        <x:v>2</x:v>
      </x:c>
      <x:c r="P8" s="11" t="str">
        <x:v>Implemented</x:v>
      </x:c>
    </x:row>
    <x:row r="9" ht="70" customHeight="1">
      <x:c r="A9" s="11" t="n">
        <x:v>4</x:v>
      </x:c>
      <x:c r="B9" s="11" t="str">
        <x:v>Staff Manual Routing Dashboard</x:v>
      </x:c>
      <x:c r="C9" s="11" t="str">
        <x:v>As a support staff member, I want a dashboard that shows all escalated and unassigned student requests, so that I can quickly review and route them to the correct department.</x:v>
      </x:c>
      <x:c r="D9" s="11" t="n">
        <x:v>6</x:v>
      </x:c>
      <x:c r="E9" s="11" t="str">
        <x:v>yes</x:v>
      </x:c>
      <x:c r="F9" s="11" t="str"/>
      <x:c r="G9" s="11" t="str"/>
      <x:c r="H9" s="11" t="str"/>
      <x:c r="I9" s="11" t="str">
        <x:v>Support Staff</x:v>
      </x:c>
      <x:c r="J9" s="11" t="str">
        <x:v>Staff member must have a 'support' role account; escalation flow (Story 3) is implemented</x:v>
      </x:c>
      <x:c r="K9" s="11" t="str">
        <x:v>US4QATest</x:v>
      </x:c>
      <x:c r="L9" s="11" t="str">
        <x:v>Frontend Developer &amp; UX Designer</x:v>
      </x:c>
      <x:c r="M9" s="11" t="n">
        <x:v>2</x:v>
      </x:c>
      <x:c r="N9" s="13" t="n">
        <x:v>46378</x:v>
      </x:c>
      <x:c r="O9" s="11" t="n">
        <x:v>2</x:v>
      </x:c>
      <x:c r="P9" s="11" t="str">
        <x:v>Implemented</x:v>
      </x:c>
    </x:row>
    <x:row r="10" ht="70" customHeight="1">
      <x:c r="A10" s="11" t="n">
        <x:v>5</x:v>
      </x:c>
      <x:c r="B10" s="11" t="str">
        <x:v>Request Status Tracking</x:v>
      </x:c>
      <x:c r="C10" s="11" t="str">
        <x:v>As a student, I want to check the status of a request I submitted (Received, In Progress, or Resolved), so that I know what is happening with it without contacting the department directly.</x:v>
      </x:c>
      <x:c r="D10" s="11" t="n">
        <x:v>4</x:v>
      </x:c>
      <x:c r="E10" s="11" t="str"/>
      <x:c r="F10" s="11" t="str">
        <x:v>yes</x:v>
      </x:c>
      <x:c r="G10" s="11" t="str"/>
      <x:c r="H10" s="11" t="str"/>
      <x:c r="I10" s="11" t="str">
        <x:v>Student</x:v>
      </x:c>
      <x:c r="J10" s="11" t="str">
        <x:v>AI routing engine (Story 1) is implemented; request status field is defined in the data model</x:v>
      </x:c>
      <x:c r="K10" s="11" t="str">
        <x:v>US5QATest</x:v>
      </x:c>
      <x:c r="L10" s="11" t="str">
        <x:v>Full-stack Developer</x:v>
      </x:c>
      <x:c r="M10" s="11" t="n">
        <x:v>2</x:v>
      </x:c>
      <x:c r="N10" s="13" t="n">
        <x:v>46385</x:v>
      </x:c>
      <x:c r="O10" s="11" t="n">
        <x:v>2</x:v>
      </x:c>
      <x:c r="P10" s="11" t="str">
        <x:v>Implemented</x:v>
      </x:c>
    </x:row>
    <x:row r="11" ht="70" customHeight="1">
      <x:c r="A11" s="11" t="n">
        <x:v>6</x:v>
      </x:c>
      <x:c r="B11" s="11" t="str">
        <x:v>Priority / Urgent Request Detection</x:v>
      </x:c>
      <x:c r="C11" s="11" t="str">
        <x:v>As a student submitting an urgent issue (e.g., a health or safety emergency), I want the system to automatically detect the urgency and immediately alert the right department, so that critical issues are handled without delay.</x:v>
      </x:c>
      <x:c r="D11" s="11" t="n">
        <x:v>7</x:v>
      </x:c>
      <x:c r="E11" s="11" t="str">
        <x:v>yes</x:v>
      </x:c>
      <x:c r="F11" s="11" t="str"/>
      <x:c r="G11" s="11" t="str"/>
      <x:c r="H11" s="11" t="str"/>
      <x:c r="I11" s="11" t="str">
        <x:v>Student / Health Services</x:v>
      </x:c>
      <x:c r="J11" s="11" t="str">
        <x:v>AI classification model (Story 1) is implemented; a real-time alert channel (SMS/email/push) is available</x:v>
      </x:c>
      <x:c r="K11" s="11" t="str">
        <x:v>US6QATest</x:v>
      </x:c>
      <x:c r="L11" s="11" t="str">
        <x:v>AI/Backend Developer</x:v>
      </x:c>
      <x:c r="M11" s="11" t="n">
        <x:v>3</x:v>
      </x:c>
      <x:c r="N11" s="13" t="n">
        <x:v>46402</x:v>
      </x:c>
      <x:c r="O11" s="11" t="n">
        <x:v>3</x:v>
      </x:c>
      <x:c r="P11" s="11" t="str">
        <x:v>Backlog</x:v>
      </x:c>
    </x:row>
    <x:row r="12" ht="70" customHeight="1">
      <x:c r="A12" s="11" t="n">
        <x:v>7</x:v>
      </x:c>
      <x:c r="B12" s="11" t="str">
        <x:v>Multi-language Request Handling</x:v>
      </x:c>
      <x:c r="C12" s="11" t="str">
        <x:v>As a student who prefers to write in Kazakh or Russian, I want to submit my request in my own language and have it classified and routed correctly, so that I don't struggle to describe my issue in English.</x:v>
      </x:c>
      <x:c r="D12" s="11" t="n">
        <x:v>5</x:v>
      </x:c>
      <x:c r="E12" s="11" t="str"/>
      <x:c r="F12" s="11" t="str">
        <x:v>yes</x:v>
      </x:c>
      <x:c r="G12" s="11" t="str"/>
      <x:c r="H12" s="11" t="str"/>
      <x:c r="I12" s="11" t="str">
        <x:v>Student</x:v>
      </x:c>
      <x:c r="J12" s="11" t="str">
        <x:v>AI classification model (Story 1) is implemented; a language-detection library is available</x:v>
      </x:c>
      <x:c r="K12" s="11" t="str">
        <x:v>US7QATest</x:v>
      </x:c>
      <x:c r="L12" s="11" t="str">
        <x:v>AI/Backend Developer &amp; Localization Specialist</x:v>
      </x:c>
      <x:c r="M12" s="11" t="n">
        <x:v>3</x:v>
      </x:c>
      <x:c r="N12" s="13" t="n">
        <x:v>46409</x:v>
      </x:c>
      <x:c r="O12" s="11" t="n">
        <x:v>4</x:v>
      </x:c>
      <x:c r="P12" s="11" t="str">
        <x:v>Backlog</x:v>
      </x:c>
    </x:row>
    <x:row r="13" ht="70" customHeight="1">
      <x:c r="A13" s="11" t="n">
        <x:v>8</x:v>
      </x:c>
      <x:c r="B13" s="11" t="str">
        <x:v>Student Feedback on Resolution</x:v>
      </x:c>
      <x:c r="C13" s="11" t="str">
        <x:v>As a student whose request has been resolved, I want to rate the support I received and leave optional comments, so that the school can measure and improve support quality.</x:v>
      </x:c>
      <x:c r="D13" s="11" t="n">
        <x:v>3</x:v>
      </x:c>
      <x:c r="E13" s="11" t="str"/>
      <x:c r="F13" s="11" t="str"/>
      <x:c r="G13" s="11" t="str"/>
      <x:c r="H13" s="11" t="str">
        <x:v>yes</x:v>
      </x:c>
      <x:c r="I13" s="11" t="str">
        <x:v>Student</x:v>
      </x:c>
      <x:c r="J13" s="11" t="str">
        <x:v>Request status tracking (Story 5) is implemented; a request can be marked Resolved by staff</x:v>
      </x:c>
      <x:c r="K13" s="11" t="str">
        <x:v>US8QATest</x:v>
      </x:c>
      <x:c r="L13" s="11" t="str">
        <x:v>Frontend Developer</x:v>
      </x:c>
      <x:c r="M13" s="11" t="n">
        <x:v>3</x:v>
      </x:c>
      <x:c r="N13" s="13" t="n">
        <x:v>46416</x:v>
      </x:c>
      <x:c r="O13" s="11" t="n">
        <x:v>5</x:v>
      </x:c>
      <x:c r="P13" s="11" t="str">
        <x:v>Backlog</x:v>
      </x:c>
    </x:row>
    <x:row r="14" ht="70" customHeight="1">
      <x:c r="A14" s="11" t="n">
        <x:v>9</x:v>
      </x:c>
      <x:c r="B14" s="11" t="str">
        <x:v>Admin Analytics Dashboard</x:v>
      </x:c>
      <x:c r="C14" s="11" t="str">
        <x:v>As a school administrator, I want a dashboard showing request volume, AI routing accuracy, and department response times, so that I can monitor support-system performance and staffing needs.</x:v>
      </x:c>
      <x:c r="D14" s="11" t="n">
        <x:v>6</x:v>
      </x:c>
      <x:c r="E14" s="11" t="str"/>
      <x:c r="F14" s="11" t="str"/>
      <x:c r="G14" s="11" t="str">
        <x:v>yes</x:v>
      </x:c>
      <x:c r="H14" s="11" t="str"/>
      <x:c r="I14" s="11" t="str">
        <x:v>School Administrator</x:v>
      </x:c>
      <x:c r="J14" s="11" t="str">
        <x:v>Request, feedback (Story 8), and staff-correction (Story 3) data is being logged</x:v>
      </x:c>
      <x:c r="K14" s="11" t="str">
        <x:v>US9QATest</x:v>
      </x:c>
      <x:c r="L14" s="11" t="str">
        <x:v>Data Analyst &amp; Backend Developer</x:v>
      </x:c>
      <x:c r="M14" s="11" t="n">
        <x:v>4</x:v>
      </x:c>
      <x:c r="N14" s="13" t="n">
        <x:v>46428</x:v>
      </x:c>
      <x:c r="O14" s="11" t="n">
        <x:v>5</x:v>
      </x:c>
      <x:c r="P14" s="11" t="str">
        <x:v>Backlog</x:v>
      </x:c>
    </x:row>
    <x:row r="15" ht="70" customHeight="1">
      <x:c r="A15" s="11" t="n">
        <x:v>10</x:v>
      </x:c>
      <x:c r="B15" s="11" t="str">
        <x:v>AI Model Retraining Pipeline</x:v>
      </x:c>
      <x:c r="C15" s="11" t="str">
        <x:v>As an IT administrator, I want the AI classification model to be periodically retrained using new labeled data, so that routing accuracy keeps improving instead of degrading over time.</x:v>
      </x:c>
      <x:c r="D15" s="11" t="n">
        <x:v>8</x:v>
      </x:c>
      <x:c r="E15" s="11" t="str">
        <x:v>yes</x:v>
      </x:c>
      <x:c r="F15" s="11" t="str"/>
      <x:c r="G15" s="11" t="str"/>
      <x:c r="H15" s="11" t="str"/>
      <x:c r="I15" s="11" t="str">
        <x:v>IT Administrator</x:v>
      </x:c>
      <x:c r="J15" s="11" t="str">
        <x:v>Feedback (Story 8) and staff-correction (Story 3) data is available; ML training infrastructure is provisioned</x:v>
      </x:c>
      <x:c r="K15" s="11" t="str">
        <x:v>US10QATest</x:v>
      </x:c>
      <x:c r="L15" s="11" t="str">
        <x:v>AI/ML Engineer</x:v>
      </x:c>
      <x:c r="M15" s="11" t="n">
        <x:v>4</x:v>
      </x:c>
      <x:c r="N15" s="13" t="n">
        <x:v>46438</x:v>
      </x:c>
      <x:c r="O15" s="11" t="n">
        <x:v>6</x:v>
      </x:c>
      <x:c r="P15" s="11" t="str">
        <x:v>Backlog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2" t="str">
        <x:v>Source: supplied AI_Student_Routing_10_User_Stories (3).xlsx, main sheet rows 3-12. Original workbook preserved in docs/source/.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2" t="str">
        <x:v>Course Sprint and Delivery state are explicit adaptations. Source Iteration, deadlines, roles, estimates and priority flags are retained.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</x:sheetData>
  <x:pageMargins left="0.7" right="0.7" top="0.75" bottom="0.75" header="0.3" footer="0.3"/>
  <x:tableParts count="1">
    <x:tablePart xmlns:r="http://schemas.openxmlformats.org/officeDocument/2006/relationships" r:id="Re01be9093ae84c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1" hidden="0" customWidth="1"/>
    <x:col min="4" max="4" width="24" hidden="0" customWidth="1"/>
    <x:col min="5" max="5" width="3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Burndown plan and build snapshot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8" customHeight="1">
      <x:c r="A5" s="8" t="str">
        <x:v>Working day</x:v>
      </x:c>
      <x:c r="B5" s="8" t="str">
        <x:v>Sprint 1 ideal points</x:v>
      </x:c>
      <x:c r="C5" s="8" t="str">
        <x:v>Sprint 1 observed points</x:v>
      </x:c>
      <x:c r="D5" s="8" t="str">
        <x:v>Sprint 2 ideal points</x:v>
      </x:c>
      <x:c r="E5" s="8" t="str">
        <x:v>Sprint 2 observed points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 t="n">
        <x:v>0</x:v>
      </x:c>
      <x:c r="B6" s="14" t="n">
        <x:f>'Sprint overview'!$C$6*(1-A6/10)</x:f>
        <x:v>8</x:v>
      </x:c>
      <x:c r="C6" s="14"/>
      <x:c r="D6" s="14" t="n">
        <x:f>'Sprint overview'!$C$7*(1-A6/10)</x:f>
        <x:v>15</x:v>
      </x:c>
      <x:c r="E6" s="14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2" customHeight="1">
      <x:c r="A7" s="2" t="n">
        <x:v>1</x:v>
      </x:c>
      <x:c r="B7" s="14" t="n">
        <x:f>'Sprint overview'!$C$6*(1-A7/10)</x:f>
        <x:v>7.2</x:v>
      </x:c>
      <x:c r="C7" s="14"/>
      <x:c r="D7" s="14" t="n">
        <x:f>'Sprint overview'!$C$7*(1-A7/10)</x:f>
        <x:v>13.5</x:v>
      </x:c>
      <x:c r="E7" s="14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2" customHeight="1">
      <x:c r="A8" s="2" t="n">
        <x:v>2</x:v>
      </x:c>
      <x:c r="B8" s="14" t="n">
        <x:f>'Sprint overview'!$C$6*(1-A8/10)</x:f>
        <x:v>6.4</x:v>
      </x:c>
      <x:c r="C8" s="14"/>
      <x:c r="D8" s="14" t="n">
        <x:f>'Sprint overview'!$C$7*(1-A8/10)</x:f>
        <x:v>12</x:v>
      </x:c>
      <x:c r="E8" s="14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2" customHeight="1">
      <x:c r="A9" s="2" t="n">
        <x:v>3</x:v>
      </x:c>
      <x:c r="B9" s="14" t="n">
        <x:f>'Sprint overview'!$C$6*(1-A9/10)</x:f>
        <x:v>5.6</x:v>
      </x:c>
      <x:c r="C9" s="14"/>
      <x:c r="D9" s="14" t="n">
        <x:f>'Sprint overview'!$C$7*(1-A9/10)</x:f>
        <x:v>10.5</x:v>
      </x:c>
      <x:c r="E9" s="14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2" customHeight="1">
      <x:c r="A10" s="2" t="n">
        <x:v>4</x:v>
      </x:c>
      <x:c r="B10" s="14" t="n">
        <x:f>'Sprint overview'!$C$6*(1-A10/10)</x:f>
        <x:v>4.8</x:v>
      </x:c>
      <x:c r="C10" s="14"/>
      <x:c r="D10" s="14" t="n">
        <x:f>'Sprint overview'!$C$7*(1-A10/10)</x:f>
        <x:v>9</x:v>
      </x:c>
      <x:c r="E10" s="14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2" customHeight="1">
      <x:c r="A11" s="2" t="n">
        <x:v>5</x:v>
      </x:c>
      <x:c r="B11" s="14" t="n">
        <x:f>'Sprint overview'!$C$6*(1-A11/10)</x:f>
        <x:v>4</x:v>
      </x:c>
      <x:c r="C11" s="14"/>
      <x:c r="D11" s="14" t="n">
        <x:f>'Sprint overview'!$C$7*(1-A11/10)</x:f>
        <x:v>7.5</x:v>
      </x:c>
      <x:c r="E11" s="14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2" customHeight="1">
      <x:c r="A12" s="2" t="n">
        <x:v>6</x:v>
      </x:c>
      <x:c r="B12" s="14" t="n">
        <x:f>'Sprint overview'!$C$6*(1-A12/10)</x:f>
        <x:v>3.2</x:v>
      </x:c>
      <x:c r="C12" s="14"/>
      <x:c r="D12" s="14" t="n">
        <x:f>'Sprint overview'!$C$7*(1-A12/10)</x:f>
        <x:v>6</x:v>
      </x:c>
      <x:c r="E12" s="14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2" customHeight="1">
      <x:c r="A13" s="2" t="n">
        <x:v>7</x:v>
      </x:c>
      <x:c r="B13" s="14" t="n">
        <x:f>'Sprint overview'!$C$6*(1-A13/10)</x:f>
        <x:v>2.4000000000000004</x:v>
      </x:c>
      <x:c r="C13" s="14"/>
      <x:c r="D13" s="14" t="n">
        <x:f>'Sprint overview'!$C$7*(1-A13/10)</x:f>
        <x:v>4.500000000000001</x:v>
      </x:c>
      <x:c r="E13" s="14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2" customHeight="1">
      <x:c r="A14" s="2" t="n">
        <x:v>8</x:v>
      </x:c>
      <x:c r="B14" s="14" t="n">
        <x:f>'Sprint overview'!$C$6*(1-A14/10)</x:f>
        <x:v>1.5999999999999996</x:v>
      </x:c>
      <x:c r="C14" s="14"/>
      <x:c r="D14" s="14" t="n">
        <x:f>'Sprint overview'!$C$7*(1-A14/10)</x:f>
        <x:v>2.999999999999999</x:v>
      </x:c>
      <x:c r="E14" s="14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2" customHeight="1">
      <x:c r="A15" s="2" t="n">
        <x:v>9</x:v>
      </x:c>
      <x:c r="B15" s="14" t="n">
        <x:f>'Sprint overview'!$C$6*(1-A15/10)</x:f>
        <x:v>0.7999999999999998</x:v>
      </x:c>
      <x:c r="C15" s="14"/>
      <x:c r="D15" s="14" t="n">
        <x:f>'Sprint overview'!$C$7*(1-A15/10)</x:f>
        <x:v>1.4999999999999996</x:v>
      </x:c>
      <x:c r="E15" s="14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2" customHeight="1">
      <x:c r="A16" s="2" t="n">
        <x:v>10</x:v>
      </x:c>
      <x:c r="B16" s="14" t="n">
        <x:f>'Sprint overview'!$C$6*(1-A16/10)</x:f>
        <x:v>0</x:v>
      </x:c>
      <x:c r="C16" s="14"/>
      <x:c r="D16" s="14" t="n">
        <x:f>'Sprint overview'!$C$7*(1-A16/10)</x:f>
        <x:v>0</x:v>
      </x:c>
      <x:c r="E16" s="14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8" customHeight="1">
      <x:c r="A19" s="8" t="str">
        <x:v>Snapshot</x:v>
      </x:c>
      <x:c r="B19" s="8" t="str">
        <x:v>Sprint 1 remaining</x:v>
      </x:c>
      <x:c r="C19" s="8" t="str">
        <x:v>Record</x:v>
      </x:c>
      <x:c r="D19" s="8" t="str">
        <x:v>Sprint 2 remaining</x:v>
      </x:c>
      <x:c r="E19" s="8" t="str">
        <x:v>Record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2" customHeight="1">
      <x:c r="A20" s="2" t="str">
        <x:v>Current build</x:v>
      </x:c>
      <x:c r="B20" s="2" t="n">
        <x:v>0</x:v>
      </x:c>
      <x:c r="C20" s="2" t="str">
        <x:v>Technical implementation</x:v>
      </x:c>
      <x:c r="D20" s="2" t="n">
        <x:v>0</x:v>
      </x:c>
      <x:c r="E20" s="2" t="str">
        <x:v>Technical implementation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 t="str">
        <x:v>Ideal values are a plan. Daily observed values are blank because historical daily records were not supplied.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 t="str">
        <x:v>The build snapshot records implementation, not actual team acceptance or velocity.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</x:sheetData>
  <x:pageMargins left="0.7" right="0.7" top="0.75" bottom="0.75" header="0.3" footer="0.3"/>
  <x:tableParts count="2">
    <x:tablePart xmlns:r="http://schemas.openxmlformats.org/officeDocument/2006/relationships" r:id="R2b5a9d7c163145c0"/>
    <x:tablePart xmlns:r="http://schemas.openxmlformats.org/officeDocument/2006/relationships" r:id="R99ff10ecde6b43f2"/>
  </x:tableParts>
</x:worksheet>
</file>